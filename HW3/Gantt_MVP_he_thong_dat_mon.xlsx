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8800" windowHeight="12210" tabRatio="500"/>
  </bookViews>
  <sheets>
    <sheet name="Gantt MVP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E30" i="1"/>
  <c r="E29" i="1"/>
  <c r="E28" i="1"/>
  <c r="E27" i="1" s="1"/>
  <c r="D27" i="1" s="1"/>
  <c r="F27" i="1"/>
  <c r="C27" i="1"/>
  <c r="E26" i="1"/>
  <c r="E25" i="1"/>
  <c r="E24" i="1"/>
  <c r="E23" i="1" s="1"/>
  <c r="D23" i="1" s="1"/>
  <c r="F23" i="1"/>
  <c r="C23" i="1"/>
  <c r="E22" i="1"/>
  <c r="E21" i="1"/>
  <c r="E20" i="1"/>
  <c r="E19" i="1"/>
  <c r="E18" i="1"/>
  <c r="E17" i="1" s="1"/>
  <c r="D17" i="1" s="1"/>
  <c r="F17" i="1"/>
  <c r="C17" i="1"/>
  <c r="E16" i="1"/>
  <c r="E15" i="1"/>
  <c r="E13" i="1" s="1"/>
  <c r="D13" i="1" s="1"/>
  <c r="E14" i="1"/>
  <c r="F13" i="1"/>
  <c r="C13" i="1"/>
  <c r="E12" i="1"/>
  <c r="E11" i="1"/>
  <c r="E10" i="1"/>
  <c r="E9" i="1"/>
  <c r="C9" i="1"/>
  <c r="D9" i="1" s="1"/>
  <c r="AK8" i="1"/>
  <c r="AJ8" i="1"/>
  <c r="AI8" i="1"/>
  <c r="AI7" i="1" s="1"/>
  <c r="AH8" i="1"/>
  <c r="AH7" i="1" s="1"/>
  <c r="AG8" i="1"/>
  <c r="AF8" i="1"/>
  <c r="AF7" i="1" s="1"/>
  <c r="AE8" i="1"/>
  <c r="AD8" i="1"/>
  <c r="AC8" i="1"/>
  <c r="AB8" i="1"/>
  <c r="AB7" i="1" s="1"/>
  <c r="AA8" i="1"/>
  <c r="AA7" i="1" s="1"/>
  <c r="Z8" i="1"/>
  <c r="Z7" i="1" s="1"/>
  <c r="Y8" i="1"/>
  <c r="X8" i="1"/>
  <c r="W8" i="1"/>
  <c r="W7" i="1" s="1"/>
  <c r="V8" i="1"/>
  <c r="V7" i="1" s="1"/>
  <c r="U8" i="1"/>
  <c r="T8" i="1"/>
  <c r="T7" i="1" s="1"/>
  <c r="S8" i="1"/>
  <c r="R8" i="1"/>
  <c r="Q8" i="1"/>
  <c r="P8" i="1"/>
  <c r="P7" i="1" s="1"/>
  <c r="O8" i="1"/>
  <c r="O7" i="1" s="1"/>
  <c r="N8" i="1"/>
  <c r="N7" i="1" s="1"/>
  <c r="M8" i="1"/>
  <c r="L8" i="1"/>
  <c r="K8" i="1"/>
  <c r="K7" i="1" s="1"/>
  <c r="J8" i="1"/>
  <c r="J7" i="1" s="1"/>
  <c r="I8" i="1"/>
  <c r="H8" i="1"/>
  <c r="H7" i="1" s="1"/>
  <c r="G8" i="1"/>
  <c r="AK7" i="1"/>
  <c r="AJ7" i="1"/>
  <c r="AG7" i="1"/>
  <c r="AE7" i="1"/>
  <c r="AD7" i="1"/>
  <c r="AC7" i="1"/>
  <c r="Y7" i="1"/>
  <c r="X7" i="1"/>
  <c r="U7" i="1"/>
  <c r="S7" i="1"/>
  <c r="R7" i="1"/>
  <c r="Q7" i="1"/>
  <c r="M7" i="1"/>
  <c r="L7" i="1"/>
  <c r="I7" i="1"/>
  <c r="G7" i="1"/>
  <c r="G6" i="1"/>
  <c r="C5" i="1" l="1"/>
  <c r="C6" i="1" s="1"/>
</calcChain>
</file>

<file path=xl/comments1.xml><?xml version="1.0" encoding="utf-8"?>
<comments xmlns="http://schemas.openxmlformats.org/spreadsheetml/2006/main">
  <authors>
    <author>Unknown Author</author>
  </authors>
  <commentList>
    <comment ref="C4" authorId="0" shapeId="0">
      <text>
        <r>
          <rPr>
            <sz val="10"/>
            <rFont val="Arial"/>
            <family val="2"/>
          </rPr>
          <t>Ô nhập liệu: ngày bắt đầu 03/10/2026 theo sơ đồ gốc. Các ngày bắt đầu bên dưới là số cố định, sửa trực tiếp nếu cần.</t>
        </r>
      </text>
    </comment>
  </commentList>
</comments>
</file>

<file path=xl/sharedStrings.xml><?xml version="1.0" encoding="utf-8"?>
<sst xmlns="http://schemas.openxmlformats.org/spreadsheetml/2006/main" count="54" uniqueCount="54">
  <si>
    <t>GANTT MVP HỆ THỐNG ĐẶT MÓN</t>
  </si>
  <si>
    <t>Ngày bắt đầu dự án</t>
  </si>
  <si>
    <t>Ngày kết thúc dự án</t>
  </si>
  <si>
    <t>Tổng thời gian (ngày)</t>
  </si>
  <si>
    <t>Mã</t>
  </si>
  <si>
    <t>Công việc</t>
  </si>
  <si>
    <t>Bắt đầu</t>
  </si>
  <si>
    <t>Số ngày</t>
  </si>
  <si>
    <t>Kết thúc</t>
  </si>
  <si>
    <t>Tiến độ</t>
  </si>
  <si>
    <t>P1</t>
  </si>
  <si>
    <t>Phạm vi &amp; kiến trúc</t>
  </si>
  <si>
    <t>1.1</t>
  </si>
  <si>
    <t>Chốt yêu cầu nghiệp vụ và vòng đời đơn hàng</t>
  </si>
  <si>
    <t>1.2</t>
  </si>
  <si>
    <t>Chốt phạm vi MVP và mô hình dữ liệu</t>
  </si>
  <si>
    <t>1.3</t>
  </si>
  <si>
    <t>Chốt API, sự kiện và phân quyền</t>
  </si>
  <si>
    <t>P2</t>
  </si>
  <si>
    <t>Trải nghiệm người dùng</t>
  </si>
  <si>
    <t>2.1</t>
  </si>
  <si>
    <t>Thiết kế UI khách hàng: khám phá món, giỏ hàng và xác nhận đơn</t>
  </si>
  <si>
    <t>2.2</t>
  </si>
  <si>
    <t>Thiết kế UI nhà hàng: onboarding, thực đơn và nhận đơn</t>
  </si>
  <si>
    <t>2.3</t>
  </si>
  <si>
    <t>Hoàn thiện luồng theo dõi trạng thái và đánh giá</t>
  </si>
  <si>
    <t>P3</t>
  </si>
  <si>
    <t>Nền tảng đặt món</t>
  </si>
  <si>
    <t>3.1</t>
  </si>
  <si>
    <t>Xây dựng tài khoản, hồ sơ và địa chỉ</t>
  </si>
  <si>
    <t>3.2</t>
  </si>
  <si>
    <t>Xây dựng danh mục, tìm kiếm và chi tiết món ăn</t>
  </si>
  <si>
    <t>3.3</t>
  </si>
  <si>
    <t>Xây dựng giỏ hàng, phí giao và mã giảm giá</t>
  </si>
  <si>
    <t>3.4</t>
  </si>
  <si>
    <t>Xây dựng quản lý nhà hàng và thực đơn</t>
  </si>
  <si>
    <t>3.5</t>
  </si>
  <si>
    <t>Xây dựng điều phối đơn hàng và trạng thái giao nhận</t>
  </si>
  <si>
    <t>P4</t>
  </si>
  <si>
    <t>Thanh toán &amp; vận hành</t>
  </si>
  <si>
    <t>4.1</t>
  </si>
  <si>
    <t>Tích hợp thanh toán và xử lý callback</t>
  </si>
  <si>
    <t>4.2</t>
  </si>
  <si>
    <t>Xây dựng hoàn tiền, đối soát và báo cáo doanh thu</t>
  </si>
  <si>
    <t>4.3</t>
  </si>
  <si>
    <t>Xây dựng thông báo, hỗ trợ và quản trị nền tảng</t>
  </si>
  <si>
    <t>P5</t>
  </si>
  <si>
    <t>Kiểm thử &amp; phát hành</t>
  </si>
  <si>
    <t>5.1</t>
  </si>
  <si>
    <t>Kiểm thử chức năng các luồng MVP</t>
  </si>
  <si>
    <t>5.2</t>
  </si>
  <si>
    <t>Kiểm thử bảo mật, hiệu năng và tương thích</t>
  </si>
  <si>
    <t>5.3</t>
  </si>
  <si>
    <t>UAT, phát hành theo nhóm người dùng và theo dõi sau phát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</si>
</sst>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"/>
  </numFmts>
  <fonts count="16" x14ac:knownFonts="1">
    <font>
      <sz val="11"/>
      <color theme="1"/>
      <name val="Calibri"/>
      <family val="2"/>
      <charset val="1"/>
    </font>
    <font>
      <b/>
      <sz val="16"/>
      <color rgb="FFC0392B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9"/>
      <color rgb="FF595959"/>
      <name val="Arial"/>
      <charset val="1"/>
    </font>
    <font>
      <b/>
      <sz val="10"/>
      <color rgb="FF000000"/>
      <name val="Arial"/>
      <charset val="1"/>
    </font>
    <font>
      <b/>
      <sz val="9"/>
      <color rgb="FFC0392B"/>
      <name val="Arial"/>
      <charset val="1"/>
    </font>
    <font>
      <sz val="8"/>
      <color rgb="FF7F7F7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7B1E1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2F2F2"/>
      </patternFill>
    </fill>
    <fill>
      <patternFill patternType="solid">
        <fgColor rgb="FFC0392B"/>
        <bgColor rgb="FF993366"/>
      </patternFill>
    </fill>
    <fill>
      <patternFill patternType="solid">
        <fgColor rgb="FFF8D7D3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 applyAlignment="1">
      <alignment horizontal="center"/>
    </xf>
    <xf numFmtId="0" fontId="5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164" fontId="11" fillId="4" borderId="1" xfId="0" applyNumberFormat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 indent="1"/>
    </xf>
    <xf numFmtId="164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9" fontId="1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4" fillId="0" borderId="0" xfId="0" applyFont="1"/>
  </cellXfs>
  <cellStyles count="1">
    <cellStyle name="Normal" xfId="0" builtinId="0"/>
  </cellStyles>
  <dxfs count="4">
    <dxf>
      <fill>
        <patternFill>
          <bgColor rgb="FF1F4E79"/>
        </patternFill>
      </fill>
    </dxf>
    <dxf>
      <fill>
        <patternFill>
          <bgColor rgb="FFF2F2F2"/>
        </patternFill>
      </fill>
    </dxf>
    <dxf>
      <fill>
        <patternFill>
          <bgColor rgb="FFF39C5A"/>
        </patternFill>
      </fill>
    </dxf>
    <dxf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C0392B"/>
      <rgbColor rgb="FFF2F2F2"/>
      <rgbColor rgb="FFCCFFFF"/>
      <rgbColor rgb="FF660066"/>
      <rgbColor rgb="FFF39C5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B1E14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32"/>
  <sheetViews>
    <sheetView showGridLines="0" tabSelected="1" zoomScaleNormal="100" workbookViewId="0">
      <pane ySplit="8" topLeftCell="A9" activePane="bottomLeft" state="frozen"/>
      <selection pane="bottomLeft" activeCell="AM13" sqref="AM13"/>
    </sheetView>
  </sheetViews>
  <sheetFormatPr defaultColWidth="8.7109375" defaultRowHeight="15" x14ac:dyDescent="0.25"/>
  <cols>
    <col min="1" max="1" width="6" customWidth="1"/>
    <col min="2" max="2" width="52" customWidth="1"/>
    <col min="3" max="3" width="12" customWidth="1"/>
    <col min="4" max="4" width="8" customWidth="1"/>
    <col min="5" max="5" width="12" customWidth="1"/>
    <col min="6" max="6" width="9" customWidth="1"/>
    <col min="7" max="8" width="3.5703125" customWidth="1"/>
    <col min="9" max="9" width="3.85546875" bestFit="1" customWidth="1"/>
    <col min="10" max="37" width="3.5703125" customWidth="1"/>
  </cols>
  <sheetData>
    <row r="1" spans="1:37" ht="20.25" x14ac:dyDescent="0.3">
      <c r="A1" s="1" t="s">
        <v>0</v>
      </c>
    </row>
    <row r="2" spans="1:37" x14ac:dyDescent="0.25">
      <c r="A2" s="2"/>
    </row>
    <row r="4" spans="1:37" x14ac:dyDescent="0.25">
      <c r="A4" s="3" t="s">
        <v>1</v>
      </c>
      <c r="C4" s="4">
        <v>46298</v>
      </c>
      <c r="H4" s="3"/>
      <c r="J4" s="5"/>
    </row>
    <row r="5" spans="1:37" x14ac:dyDescent="0.25">
      <c r="A5" s="3" t="s">
        <v>2</v>
      </c>
      <c r="C5" s="6">
        <f>MAX(E9:E30)</f>
        <v>46328</v>
      </c>
      <c r="J5" s="5"/>
    </row>
    <row r="6" spans="1:37" x14ac:dyDescent="0.25">
      <c r="A6" s="3" t="s">
        <v>3</v>
      </c>
      <c r="C6" s="7">
        <f>C5-C4</f>
        <v>30</v>
      </c>
      <c r="G6" s="8" t="str">
        <f>"Tháng "&amp;MONTH($C$4)&amp;"/"&amp;YEAR($C$4)</f>
        <v>Tháng 10/2026</v>
      </c>
    </row>
    <row r="7" spans="1:37" x14ac:dyDescent="0.25">
      <c r="G7" s="9" t="str">
        <f t="shared" ref="G7:AK7" si="0">TEXT(G8,"ddd")</f>
        <v>Sat</v>
      </c>
      <c r="H7" s="9" t="str">
        <f t="shared" si="0"/>
        <v>Sun</v>
      </c>
      <c r="I7" s="9" t="str">
        <f t="shared" si="0"/>
        <v>Mon</v>
      </c>
      <c r="J7" s="9" t="str">
        <f t="shared" si="0"/>
        <v>Tue</v>
      </c>
      <c r="K7" s="9" t="str">
        <f t="shared" si="0"/>
        <v>Wed</v>
      </c>
      <c r="L7" s="9" t="str">
        <f t="shared" si="0"/>
        <v>Thu</v>
      </c>
      <c r="M7" s="9" t="str">
        <f t="shared" si="0"/>
        <v>Fri</v>
      </c>
      <c r="N7" s="9" t="str">
        <f t="shared" si="0"/>
        <v>Sat</v>
      </c>
      <c r="O7" s="9" t="str">
        <f t="shared" si="0"/>
        <v>Sun</v>
      </c>
      <c r="P7" s="9" t="str">
        <f t="shared" si="0"/>
        <v>Mon</v>
      </c>
      <c r="Q7" s="9" t="str">
        <f t="shared" si="0"/>
        <v>Tue</v>
      </c>
      <c r="R7" s="9" t="str">
        <f t="shared" si="0"/>
        <v>Wed</v>
      </c>
      <c r="S7" s="9" t="str">
        <f t="shared" si="0"/>
        <v>Thu</v>
      </c>
      <c r="T7" s="9" t="str">
        <f t="shared" si="0"/>
        <v>Fri</v>
      </c>
      <c r="U7" s="9" t="str">
        <f t="shared" si="0"/>
        <v>Sat</v>
      </c>
      <c r="V7" s="9" t="str">
        <f t="shared" si="0"/>
        <v>Sun</v>
      </c>
      <c r="W7" s="9" t="str">
        <f t="shared" si="0"/>
        <v>Mon</v>
      </c>
      <c r="X7" s="9" t="str">
        <f t="shared" si="0"/>
        <v>Tue</v>
      </c>
      <c r="Y7" s="9" t="str">
        <f t="shared" si="0"/>
        <v>Wed</v>
      </c>
      <c r="Z7" s="9" t="str">
        <f t="shared" si="0"/>
        <v>Thu</v>
      </c>
      <c r="AA7" s="9" t="str">
        <f t="shared" si="0"/>
        <v>Fri</v>
      </c>
      <c r="AB7" s="9" t="str">
        <f t="shared" si="0"/>
        <v>Sat</v>
      </c>
      <c r="AC7" s="9" t="str">
        <f t="shared" si="0"/>
        <v>Sun</v>
      </c>
      <c r="AD7" s="9" t="str">
        <f t="shared" si="0"/>
        <v>Mon</v>
      </c>
      <c r="AE7" s="9" t="str">
        <f t="shared" si="0"/>
        <v>Tue</v>
      </c>
      <c r="AF7" s="9" t="str">
        <f t="shared" si="0"/>
        <v>Wed</v>
      </c>
      <c r="AG7" s="9" t="str">
        <f t="shared" si="0"/>
        <v>Thu</v>
      </c>
      <c r="AH7" s="9" t="str">
        <f t="shared" si="0"/>
        <v>Fri</v>
      </c>
      <c r="AI7" s="9" t="str">
        <f t="shared" si="0"/>
        <v>Sat</v>
      </c>
      <c r="AJ7" s="9" t="str">
        <f t="shared" si="0"/>
        <v>Sun</v>
      </c>
      <c r="AK7" s="9" t="str">
        <f t="shared" si="0"/>
        <v>Mon</v>
      </c>
    </row>
    <row r="8" spans="1:37" ht="24" customHeight="1" x14ac:dyDescent="0.25">
      <c r="A8" s="10" t="s">
        <v>4</v>
      </c>
      <c r="B8" s="10" t="s">
        <v>5</v>
      </c>
      <c r="C8" s="10" t="s">
        <v>6</v>
      </c>
      <c r="D8" s="10" t="s">
        <v>7</v>
      </c>
      <c r="E8" s="10" t="s">
        <v>8</v>
      </c>
      <c r="F8" s="10" t="s">
        <v>9</v>
      </c>
      <c r="G8" s="11">
        <f>$C$4+0</f>
        <v>46298</v>
      </c>
      <c r="H8" s="11">
        <f>$C$4+1</f>
        <v>46299</v>
      </c>
      <c r="I8" s="11">
        <f>$C$4+2</f>
        <v>46300</v>
      </c>
      <c r="J8" s="11">
        <f>$C$4+3</f>
        <v>46301</v>
      </c>
      <c r="K8" s="11">
        <f>$C$4+4</f>
        <v>46302</v>
      </c>
      <c r="L8" s="11">
        <f>$C$4+5</f>
        <v>46303</v>
      </c>
      <c r="M8" s="11">
        <f>$C$4+6</f>
        <v>46304</v>
      </c>
      <c r="N8" s="11">
        <f>$C$4+7</f>
        <v>46305</v>
      </c>
      <c r="O8" s="11">
        <f>$C$4+8</f>
        <v>46306</v>
      </c>
      <c r="P8" s="11">
        <f>$C$4+9</f>
        <v>46307</v>
      </c>
      <c r="Q8" s="11">
        <f>$C$4+10</f>
        <v>46308</v>
      </c>
      <c r="R8" s="11">
        <f>$C$4+11</f>
        <v>46309</v>
      </c>
      <c r="S8" s="11">
        <f>$C$4+12</f>
        <v>46310</v>
      </c>
      <c r="T8" s="11">
        <f>$C$4+13</f>
        <v>46311</v>
      </c>
      <c r="U8" s="11">
        <f>$C$4+14</f>
        <v>46312</v>
      </c>
      <c r="V8" s="11">
        <f>$C$4+15</f>
        <v>46313</v>
      </c>
      <c r="W8" s="11">
        <f>$C$4+16</f>
        <v>46314</v>
      </c>
      <c r="X8" s="11">
        <f>$C$4+17</f>
        <v>46315</v>
      </c>
      <c r="Y8" s="11">
        <f>$C$4+18</f>
        <v>46316</v>
      </c>
      <c r="Z8" s="11">
        <f>$C$4+19</f>
        <v>46317</v>
      </c>
      <c r="AA8" s="11">
        <f>$C$4+20</f>
        <v>46318</v>
      </c>
      <c r="AB8" s="11">
        <f>$C$4+21</f>
        <v>46319</v>
      </c>
      <c r="AC8" s="11">
        <f>$C$4+22</f>
        <v>46320</v>
      </c>
      <c r="AD8" s="11">
        <f>$C$4+23</f>
        <v>46321</v>
      </c>
      <c r="AE8" s="11">
        <f>$C$4+24</f>
        <v>46322</v>
      </c>
      <c r="AF8" s="11">
        <f>$C$4+25</f>
        <v>46323</v>
      </c>
      <c r="AG8" s="11">
        <f>$C$4+26</f>
        <v>46324</v>
      </c>
      <c r="AH8" s="11">
        <f>$C$4+27</f>
        <v>46325</v>
      </c>
      <c r="AI8" s="11">
        <f>$C$4+28</f>
        <v>46326</v>
      </c>
      <c r="AJ8" s="11">
        <f>$C$4+29</f>
        <v>46327</v>
      </c>
      <c r="AK8" s="11">
        <f>$C$4+30</f>
        <v>46328</v>
      </c>
    </row>
    <row r="9" spans="1:37" ht="21.75" customHeight="1" x14ac:dyDescent="0.25">
      <c r="A9" s="12" t="s">
        <v>10</v>
      </c>
      <c r="B9" s="13" t="s">
        <v>11</v>
      </c>
      <c r="C9" s="14">
        <f>MIN(C10:C12)</f>
        <v>46298</v>
      </c>
      <c r="D9" s="12">
        <f>E9-C9</f>
        <v>5</v>
      </c>
      <c r="E9" s="14">
        <f>MAX(E10:E12)</f>
        <v>46303</v>
      </c>
      <c r="F9" s="15" t="e">
        <f>AVERAGE(G12F10:F12)</f>
        <v>#NAME?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spans="1:37" ht="30" customHeight="1" x14ac:dyDescent="0.25">
      <c r="A10" s="17" t="s">
        <v>12</v>
      </c>
      <c r="B10" s="18" t="s">
        <v>13</v>
      </c>
      <c r="C10" s="19">
        <v>46298</v>
      </c>
      <c r="D10" s="20">
        <v>2</v>
      </c>
      <c r="E10" s="21">
        <f>C10+D10</f>
        <v>46300</v>
      </c>
      <c r="F10" s="22">
        <v>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ht="30" customHeight="1" x14ac:dyDescent="0.25">
      <c r="A11" s="17" t="s">
        <v>14</v>
      </c>
      <c r="B11" s="18" t="s">
        <v>15</v>
      </c>
      <c r="C11" s="19">
        <v>46300</v>
      </c>
      <c r="D11" s="20">
        <v>2</v>
      </c>
      <c r="E11" s="21">
        <f>C11+D11</f>
        <v>46302</v>
      </c>
      <c r="F11" s="22">
        <v>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ht="30" customHeight="1" x14ac:dyDescent="0.25">
      <c r="A12" s="17" t="s">
        <v>16</v>
      </c>
      <c r="B12" s="18" t="s">
        <v>17</v>
      </c>
      <c r="C12" s="19">
        <v>46302</v>
      </c>
      <c r="D12" s="20">
        <v>1</v>
      </c>
      <c r="E12" s="21">
        <f>C12+D12</f>
        <v>46303</v>
      </c>
      <c r="F12" s="22"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ht="21.75" customHeight="1" x14ac:dyDescent="0.25">
      <c r="A13" s="12" t="s">
        <v>18</v>
      </c>
      <c r="B13" s="13" t="s">
        <v>19</v>
      </c>
      <c r="C13" s="14">
        <f>MIN(C14:C16)</f>
        <v>46303</v>
      </c>
      <c r="D13" s="12">
        <f>E13-C13</f>
        <v>5</v>
      </c>
      <c r="E13" s="14">
        <f>MAX(E14:E16)</f>
        <v>46308</v>
      </c>
      <c r="F13" s="15">
        <f>AVERAGE(F14:F16)</f>
        <v>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30" customHeight="1" x14ac:dyDescent="0.25">
      <c r="A14" s="17" t="s">
        <v>20</v>
      </c>
      <c r="B14" s="18" t="s">
        <v>21</v>
      </c>
      <c r="C14" s="19">
        <v>46303</v>
      </c>
      <c r="D14" s="20">
        <v>2</v>
      </c>
      <c r="E14" s="21">
        <f>C14+D14</f>
        <v>46305</v>
      </c>
      <c r="F14" s="22">
        <v>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ht="30" customHeight="1" x14ac:dyDescent="0.25">
      <c r="A15" s="17" t="s">
        <v>22</v>
      </c>
      <c r="B15" s="18" t="s">
        <v>23</v>
      </c>
      <c r="C15" s="19">
        <v>46305</v>
      </c>
      <c r="D15" s="20">
        <v>2</v>
      </c>
      <c r="E15" s="21">
        <f>C15+D15</f>
        <v>46307</v>
      </c>
      <c r="F15" s="22">
        <v>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ht="30" customHeight="1" x14ac:dyDescent="0.25">
      <c r="A16" s="17" t="s">
        <v>24</v>
      </c>
      <c r="B16" s="18" t="s">
        <v>25</v>
      </c>
      <c r="C16" s="19">
        <v>46307</v>
      </c>
      <c r="D16" s="20">
        <v>1</v>
      </c>
      <c r="E16" s="21">
        <f>C16+D16</f>
        <v>46308</v>
      </c>
      <c r="F16" s="22">
        <v>0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ht="21.75" customHeight="1" x14ac:dyDescent="0.25">
      <c r="A17" s="12" t="s">
        <v>26</v>
      </c>
      <c r="B17" s="13" t="s">
        <v>27</v>
      </c>
      <c r="C17" s="14">
        <f>MIN(C18:C22)</f>
        <v>46308</v>
      </c>
      <c r="D17" s="12">
        <f>E17-C17</f>
        <v>10</v>
      </c>
      <c r="E17" s="14">
        <f>MAX(E18:E22)</f>
        <v>46318</v>
      </c>
      <c r="F17" s="15">
        <f>AVERAGE(F18:F22)</f>
        <v>0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30" customHeight="1" x14ac:dyDescent="0.25">
      <c r="A18" s="17" t="s">
        <v>28</v>
      </c>
      <c r="B18" s="18" t="s">
        <v>29</v>
      </c>
      <c r="C18" s="19">
        <v>46308</v>
      </c>
      <c r="D18" s="20">
        <v>2</v>
      </c>
      <c r="E18" s="21">
        <f>C18+D18</f>
        <v>46310</v>
      </c>
      <c r="F18" s="22">
        <v>0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ht="30" customHeight="1" x14ac:dyDescent="0.25">
      <c r="A19" s="17" t="s">
        <v>30</v>
      </c>
      <c r="B19" s="18" t="s">
        <v>31</v>
      </c>
      <c r="C19" s="19">
        <v>46310</v>
      </c>
      <c r="D19" s="20">
        <v>2</v>
      </c>
      <c r="E19" s="21">
        <f>C19+D19</f>
        <v>46312</v>
      </c>
      <c r="F19" s="22">
        <v>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ht="30" customHeight="1" x14ac:dyDescent="0.25">
      <c r="A20" s="17" t="s">
        <v>32</v>
      </c>
      <c r="B20" s="18" t="s">
        <v>33</v>
      </c>
      <c r="C20" s="19">
        <v>46312</v>
      </c>
      <c r="D20" s="20">
        <v>2</v>
      </c>
      <c r="E20" s="21">
        <f>C20+D20</f>
        <v>46314</v>
      </c>
      <c r="F20" s="22">
        <v>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ht="30" customHeight="1" x14ac:dyDescent="0.25">
      <c r="A21" s="17" t="s">
        <v>34</v>
      </c>
      <c r="B21" s="18" t="s">
        <v>35</v>
      </c>
      <c r="C21" s="19">
        <v>46314</v>
      </c>
      <c r="D21" s="20">
        <v>2</v>
      </c>
      <c r="E21" s="21">
        <f>C21+D21</f>
        <v>46316</v>
      </c>
      <c r="F21" s="22">
        <v>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ht="30" customHeight="1" x14ac:dyDescent="0.25">
      <c r="A22" s="17" t="s">
        <v>36</v>
      </c>
      <c r="B22" s="18" t="s">
        <v>37</v>
      </c>
      <c r="C22" s="19">
        <v>46316</v>
      </c>
      <c r="D22" s="20">
        <v>2</v>
      </c>
      <c r="E22" s="21">
        <f>C22+D22</f>
        <v>46318</v>
      </c>
      <c r="F22" s="22">
        <v>0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ht="21.75" customHeight="1" x14ac:dyDescent="0.25">
      <c r="A23" s="12" t="s">
        <v>38</v>
      </c>
      <c r="B23" s="13" t="s">
        <v>39</v>
      </c>
      <c r="C23" s="14">
        <f>MIN(C24:C26)</f>
        <v>46318</v>
      </c>
      <c r="D23" s="12">
        <f>E23-C23</f>
        <v>6</v>
      </c>
      <c r="E23" s="14">
        <f>MAX(E24:E26)</f>
        <v>46324</v>
      </c>
      <c r="F23" s="15">
        <f>AVERAGE(F24:F26)</f>
        <v>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30" customHeight="1" x14ac:dyDescent="0.25">
      <c r="A24" s="17" t="s">
        <v>40</v>
      </c>
      <c r="B24" s="18" t="s">
        <v>41</v>
      </c>
      <c r="C24" s="19">
        <v>46318</v>
      </c>
      <c r="D24" s="20">
        <v>2</v>
      </c>
      <c r="E24" s="21">
        <f>C24+D24</f>
        <v>46320</v>
      </c>
      <c r="F24" s="22">
        <v>0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ht="30" customHeight="1" x14ac:dyDescent="0.25">
      <c r="A25" s="17" t="s">
        <v>42</v>
      </c>
      <c r="B25" s="18" t="s">
        <v>43</v>
      </c>
      <c r="C25" s="19">
        <v>46320</v>
      </c>
      <c r="D25" s="20">
        <v>2</v>
      </c>
      <c r="E25" s="21">
        <f>C25+D25</f>
        <v>46322</v>
      </c>
      <c r="F25" s="22">
        <v>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ht="30" customHeight="1" x14ac:dyDescent="0.25">
      <c r="A26" s="17" t="s">
        <v>44</v>
      </c>
      <c r="B26" s="18" t="s">
        <v>45</v>
      </c>
      <c r="C26" s="19">
        <v>46322</v>
      </c>
      <c r="D26" s="20">
        <v>2</v>
      </c>
      <c r="E26" s="21">
        <f>C26+D26</f>
        <v>46324</v>
      </c>
      <c r="F26" s="22">
        <v>0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ht="21.75" customHeight="1" x14ac:dyDescent="0.25">
      <c r="A27" s="12" t="s">
        <v>46</v>
      </c>
      <c r="B27" s="13" t="s">
        <v>47</v>
      </c>
      <c r="C27" s="14">
        <f>MIN(C28:C30)</f>
        <v>46324</v>
      </c>
      <c r="D27" s="12">
        <f>E27-C27</f>
        <v>4</v>
      </c>
      <c r="E27" s="14">
        <f>MAX(E28:E30)</f>
        <v>46328</v>
      </c>
      <c r="F27" s="15">
        <f>AVERAGE(F28:F30)</f>
        <v>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30" customHeight="1" x14ac:dyDescent="0.25">
      <c r="A28" s="17" t="s">
        <v>48</v>
      </c>
      <c r="B28" s="18" t="s">
        <v>49</v>
      </c>
      <c r="C28" s="19">
        <v>46324</v>
      </c>
      <c r="D28" s="20">
        <v>1</v>
      </c>
      <c r="E28" s="21">
        <f>C28+D28</f>
        <v>46325</v>
      </c>
      <c r="F28" s="22">
        <v>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ht="30" customHeight="1" x14ac:dyDescent="0.25">
      <c r="A29" s="17" t="s">
        <v>50</v>
      </c>
      <c r="B29" s="18" t="s">
        <v>51</v>
      </c>
      <c r="C29" s="19">
        <v>46325</v>
      </c>
      <c r="D29" s="20">
        <v>1</v>
      </c>
      <c r="E29" s="21">
        <f>C29+D29</f>
        <v>46326</v>
      </c>
      <c r="F29" s="22">
        <v>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ht="30" customHeight="1" x14ac:dyDescent="0.25">
      <c r="A30" s="17" t="s">
        <v>52</v>
      </c>
      <c r="B30" s="18" t="s">
        <v>53</v>
      </c>
      <c r="C30" s="19">
        <v>46326</v>
      </c>
      <c r="D30" s="20">
        <v>2</v>
      </c>
      <c r="E30" s="21">
        <f>C30+D30</f>
        <v>46328</v>
      </c>
      <c r="F30" s="22">
        <v>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2" spans="1:37" x14ac:dyDescent="0.25">
      <c r="B32" s="24"/>
    </row>
  </sheetData>
  <conditionalFormatting sqref="G9:AK30">
    <cfRule type="expression" dxfId="3" priority="2">
      <formula>AND(LEFT($A9,1)="P",G$8&gt;=$C9,G$8&lt;$E9)</formula>
    </cfRule>
    <cfRule type="expression" dxfId="2" priority="3">
      <formula>AND(LEFT($A9,1)&lt;&gt;"P",G$8&gt;=$C9,G$8&lt;$E9)</formula>
    </cfRule>
    <cfRule type="expression" dxfId="1" priority="4">
      <formula>WEEKDAY(G$8,2)&gt;5</formula>
    </cfRule>
  </conditionalFormatting>
  <conditionalFormatting sqref="G8:AK8">
    <cfRule type="expression" dxfId="0" priority="5">
      <formula>G$8=TODAY()</formula>
    </cfRule>
  </conditionalFormatting>
  <pageMargins left="0.75" right="0.75" top="1" bottom="1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0</cp:revision>
  <dcterms:created xsi:type="dcterms:W3CDTF">2026-10-03T02:28:14Z</dcterms:created>
  <dcterms:modified xsi:type="dcterms:W3CDTF">2026-10-03T02:36:49Z</dcterms:modified>
  <dc:language>en-US</dc:language>
</cp:coreProperties>
</file>